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worksheets/sheet1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0" yWindow="-60" windowWidth="15480" windowHeight="11640" firstSheet="10" activeTab="10"/>
  </bookViews>
  <sheets>
    <sheet sheetId="35" name="Instructions" state="visible" r:id="rId4"/>
    <sheet sheetId="1" name="Jan" state="visible" r:id="rId5"/>
    <sheet sheetId="25" name="Feb" state="visible" r:id="rId6"/>
    <sheet sheetId="24" name="Mar" state="visible" r:id="rId7"/>
    <sheet sheetId="26" name="Apr" state="visible" r:id="rId8"/>
    <sheet sheetId="27" name="May" state="visible" r:id="rId9"/>
    <sheet sheetId="28" name="Jun" state="visible" r:id="rId10"/>
    <sheet sheetId="29" name="Jul" state="visible" r:id="rId11"/>
    <sheet sheetId="30" name="Aug" state="visible" r:id="rId12"/>
    <sheet sheetId="31" name="Sep" state="visible" r:id="rId13"/>
    <sheet sheetId="32" name="Oct" state="visible" r:id="rId14"/>
    <sheet sheetId="33" name="Nov" state="visible" r:id="rId15"/>
    <sheet sheetId="34" name="Dec" state="visible" r:id="rId16"/>
  </sheets>
  <calcPr calcId="171027" fullCalcOnLoad="1"/>
</workbook>
</file>

<file path=xl/sharedStrings.xml><?xml version="1.0" encoding="utf-8"?>
<sst xmlns="http://schemas.openxmlformats.org/spreadsheetml/2006/main" count="1217" uniqueCount="197">
  <si>
    <t>Instructions:</t>
  </si>
  <si>
    <t>Start and end of time periods</t>
  </si>
  <si>
    <t xml:space="preserve">First week of each month starts with the 1st day of the month and ends with Thursday (end of payroll cycle)   </t>
  </si>
  <si>
    <t>E.g. Mon  to Thu</t>
  </si>
  <si>
    <t>(pre-populated)</t>
  </si>
  <si>
    <t>Following weeks start each Friday and end with Thursday (payroll cycles)</t>
  </si>
  <si>
    <t xml:space="preserve">E.g. Fri  to Thu </t>
  </si>
  <si>
    <t>Last week of the month starts with Friday and ends with the last day of the month</t>
  </si>
  <si>
    <t>E.g. Fri to Mon</t>
  </si>
  <si>
    <t>Next month therefore would be:  Tue 1Mar to Thu 3Mar</t>
  </si>
  <si>
    <t xml:space="preserve">Budgeted hours per flight (Net hrs) or Daily </t>
  </si>
  <si>
    <t>budgeted total labor hrs (given by Hosi)</t>
  </si>
  <si>
    <t>Always based on 1 flight. Weekly budget needs to be adjusted by the # of Actual flts + Rebilled Cancellations</t>
  </si>
  <si>
    <t>minus:</t>
  </si>
  <si>
    <t>allocated CBS hours (if applicable)</t>
  </si>
  <si>
    <t>(rebilled canx = full turn price)</t>
  </si>
  <si>
    <t>allocated OPS hours (if applicable)</t>
  </si>
  <si>
    <t>plus:</t>
  </si>
  <si>
    <t xml:space="preserve">any additional hours for functions where we charge a regular flat fee. </t>
  </si>
  <si>
    <t xml:space="preserve">Budgeted hours wk (per week) </t>
  </si>
  <si>
    <t xml:space="preserve">Budgeted total labor automatically calculated  ( Actual flights + rebillable cancellation   X contracted hours daily) </t>
  </si>
  <si>
    <t xml:space="preserve">Do not add any hours which are regularly rebilled. Those hours will be credited again through the "rebill column" and will zero out the additional AE hours incurred. </t>
  </si>
  <si>
    <t xml:space="preserve">Business Managers Hours </t>
  </si>
  <si>
    <t>DO NOT PRORATE- 40 hours weekly will automatically be included into the AE hours.  Understanding is that the first week and last week of the month will be either under or over depending</t>
  </si>
  <si>
    <t xml:space="preserve">last day on calendar.  </t>
  </si>
  <si>
    <t>actual total AE hours:</t>
  </si>
  <si>
    <t>formula, calculating total of all AE hours (excluding holiday hours, CTO)</t>
  </si>
  <si>
    <t xml:space="preserve">OT = multiplied by 1.5 and DT = multiplied by 2 / brings all hours to the basis of regular hours in order to compare with budgeted hours </t>
  </si>
  <si>
    <t>actual AE hours:</t>
  </si>
  <si>
    <t>Reg</t>
  </si>
  <si>
    <t>OT</t>
  </si>
  <si>
    <t>DT</t>
  </si>
  <si>
    <t>Training</t>
  </si>
  <si>
    <t>Include all hours from the AE report for your account for the particular time period: including Regular, Overtime, Double time, training</t>
  </si>
  <si>
    <t>Include B-Mngr hours for the particular time period</t>
  </si>
  <si>
    <t>CBS hours need to properly be transferred to the CBS account if there is not a dedicated CBS team and schedule (for LAX, SFO, HNL there is a dedicated team)</t>
  </si>
  <si>
    <t>exclude: SP, holiday hours, CTO (vacation/sick)</t>
  </si>
  <si>
    <t>exclude: any "assigned" hours not belonging to your account (if applicable) e.g. Regional Mngr etc</t>
  </si>
  <si>
    <t>Cross Utilized staff: if schedule is properly done, no action needed. If no schedule was done then hours need to be transferred in AE NOT in WWH reports</t>
  </si>
  <si>
    <t>Total Hours Rebilled:</t>
  </si>
  <si>
    <t xml:space="preserve">formula, calculating total of all rebillable hours:  OT = multiplied by 1.5 and DT = multiplied by 2 </t>
  </si>
  <si>
    <t xml:space="preserve">brings all hours to the basis of regular hours in order to compare with budgeted hours </t>
  </si>
  <si>
    <t>Rebillable hours:</t>
  </si>
  <si>
    <t xml:space="preserve">enter all rebillable hours for the particular time period (from the rebill xls given to the customer for signature) </t>
  </si>
  <si>
    <t>Total hrs over / under budget:</t>
  </si>
  <si>
    <t xml:space="preserve">formula, calculating total of all AE hours (basis regular hrs) compared to all rebillable hours (basis regular hrs) </t>
  </si>
  <si>
    <t>Hallmark Delays:</t>
  </si>
  <si>
    <t>only delays which are coded to Hallmark need to be indicated</t>
  </si>
  <si>
    <t>Length of Delays:</t>
  </si>
  <si>
    <t>Rebillable Delays:</t>
  </si>
  <si>
    <t>refer to contract details: no grace period, 30min or 60min grace period to determine when a delay is rebillable</t>
  </si>
  <si>
    <t>Non-Rebillable Delays:</t>
  </si>
  <si>
    <t>Non-Rebillable Cancelations :</t>
  </si>
  <si>
    <t>refer to contract details: when Hallmark gets sufficient advance notice and not entire team is requested.</t>
  </si>
  <si>
    <t xml:space="preserve"> If just additional labor is requested then it is a NON-rebillable delay, but additional hours are under rebill </t>
  </si>
  <si>
    <t>Rebillable Cancelations:</t>
  </si>
  <si>
    <r>
      <t xml:space="preserve">refer to contract details: when Hallmark gets </t>
    </r>
    <r>
      <rPr>
        <b/>
        <family val="2"/>
        <sz val="10"/>
        <rFont val="Arial"/>
      </rPr>
      <t xml:space="preserve">insufficient advance notice </t>
    </r>
    <r>
      <rPr>
        <family val="2"/>
        <sz val="10"/>
        <rFont val="Arial"/>
      </rPr>
      <t>then full turn price is being charged (not under rebillable hours).</t>
    </r>
  </si>
  <si>
    <t>Planned Flights:</t>
  </si>
  <si>
    <t>originally planned and scheduled flights</t>
  </si>
  <si>
    <t xml:space="preserve">Actual Flights: </t>
  </si>
  <si>
    <t>actual flights + cancellations (non-rebillable and billable canx) must match the number of planned flights.</t>
  </si>
  <si>
    <t>Comments:</t>
  </si>
  <si>
    <t xml:space="preserve">Operational comments // delayed flights/ safety concerns // Times that will impact the budget vs worked </t>
  </si>
  <si>
    <t xml:space="preserve">Comments Training - </t>
  </si>
  <si>
    <t xml:space="preserve"> Must include training completed and name of trainees </t>
  </si>
  <si>
    <t>Delays caused by Hallmark:</t>
  </si>
  <si>
    <t>SAFETY ( A/C damages, Equipment damages, Accidents, Injuries - Workers Comp Cases)</t>
  </si>
  <si>
    <t>Other Operational Issues:</t>
  </si>
  <si>
    <t>Account:</t>
  </si>
  <si>
    <t>LAXMU9834</t>
  </si>
  <si>
    <t>Hallmark Aviation Services     Weekly Worked Hours Report     Accounting month ending</t>
  </si>
  <si>
    <t>Rebillable Dollars</t>
  </si>
  <si>
    <t>Actual</t>
  </si>
  <si>
    <t>TTL $ Rev/WK</t>
  </si>
  <si>
    <t>WEEK</t>
  </si>
  <si>
    <t>WEEK ENDING DATE</t>
  </si>
  <si>
    <t>Budgeted hrs</t>
  </si>
  <si>
    <t>Budgeted</t>
  </si>
  <si>
    <t>ACTUAL</t>
  </si>
  <si>
    <t>ACTUAL AE HOURS</t>
  </si>
  <si>
    <t>Total hours</t>
  </si>
  <si>
    <t>Rebillable Hours</t>
  </si>
  <si>
    <t>Total over</t>
  </si>
  <si>
    <t>REG</t>
  </si>
  <si>
    <t>Hallmark</t>
  </si>
  <si>
    <t>Length of</t>
  </si>
  <si>
    <t>Rebillable</t>
  </si>
  <si>
    <t>Non-Rebillable</t>
  </si>
  <si>
    <t>Planned</t>
  </si>
  <si>
    <t># of</t>
  </si>
  <si>
    <t>FLTS $</t>
  </si>
  <si>
    <t xml:space="preserve">per flt </t>
  </si>
  <si>
    <t>Hours wk</t>
  </si>
  <si>
    <t>TTL AE hrs</t>
  </si>
  <si>
    <t>in rebill</t>
  </si>
  <si>
    <t>or under</t>
  </si>
  <si>
    <t>Delays</t>
  </si>
  <si>
    <t>Delay</t>
  </si>
  <si>
    <t>CNXL FLT</t>
  </si>
  <si>
    <t>Flights</t>
  </si>
  <si>
    <t>PAXS</t>
  </si>
  <si>
    <t>1 - JAN</t>
  </si>
  <si>
    <t>2-8 JAN</t>
  </si>
  <si>
    <t>9-15 JAN</t>
  </si>
  <si>
    <t>16-22 JAN</t>
  </si>
  <si>
    <t>23-29 JAN</t>
  </si>
  <si>
    <t>30-31 JAN</t>
  </si>
  <si>
    <t xml:space="preserve">     Totals</t>
  </si>
  <si>
    <t>Week 1:</t>
  </si>
  <si>
    <t>Week 2:</t>
  </si>
  <si>
    <t>Week 3:</t>
  </si>
  <si>
    <t>Week 4:</t>
  </si>
  <si>
    <t>Week 5:</t>
  </si>
  <si>
    <t>Week 6:</t>
  </si>
  <si>
    <t xml:space="preserve">Training Comments -  Must include training completed and name of trainees </t>
  </si>
  <si>
    <t xml:space="preserve">3.1           FLIGHTS HANDLED </t>
  </si>
  <si>
    <t>ACCOUNT</t>
  </si>
  <si>
    <t>Actual Flts</t>
  </si>
  <si>
    <t>PAX</t>
  </si>
  <si>
    <t>TOTAL</t>
  </si>
  <si>
    <t>COMMENTS:</t>
  </si>
  <si>
    <t>3.2           DELAYS CAUSED BY HALLMARK</t>
  </si>
  <si>
    <t>STATION</t>
  </si>
  <si>
    <t>DATE</t>
  </si>
  <si>
    <t>FLIGHT</t>
  </si>
  <si>
    <t>DURATION</t>
  </si>
  <si>
    <t>REASON</t>
  </si>
  <si>
    <t>CORRECTIVE ACTION</t>
  </si>
  <si>
    <t>3.3           SAFETY ( A/C damages, Equipment damages, Accidents, Injuries - Workers Comp Cases)</t>
  </si>
  <si>
    <t>INCIDENTS DESCRIPTION</t>
  </si>
  <si>
    <t>ADDITIONAL COMMENTS:  NIL</t>
  </si>
  <si>
    <r>
      <t>3.4</t>
    </r>
    <r>
      <rPr>
        <b/>
        <color indexed="8"/>
        <family val="1"/>
        <sz val="10"/>
        <rFont val="Times New Roman"/>
      </rPr>
      <t xml:space="preserve">               </t>
    </r>
    <r>
      <rPr>
        <b/>
        <color indexed="8"/>
        <family val="2"/>
        <sz val="10"/>
        <rFont val="Arial"/>
      </rPr>
      <t xml:space="preserve">EQUIPMENT </t>
    </r>
  </si>
  <si>
    <t>COMMENTS:     NIL</t>
  </si>
  <si>
    <t>3.5           OTHER OPERATIONAL ISSUES</t>
  </si>
  <si>
    <t xml:space="preserve"> </t>
  </si>
  <si>
    <t xml:space="preserve">Contracted </t>
  </si>
  <si>
    <t>TTL HRS</t>
  </si>
  <si>
    <t>Hours daily</t>
  </si>
  <si>
    <t>1-5 FEB</t>
  </si>
  <si>
    <t>6-12 FEB</t>
  </si>
  <si>
    <t>13-19 FEB</t>
  </si>
  <si>
    <t>20-26 FEB</t>
  </si>
  <si>
    <t>27-28 FEB</t>
  </si>
  <si>
    <t>1-5 MAR</t>
  </si>
  <si>
    <t>6-12 MAR</t>
  </si>
  <si>
    <t>13-19 MAR</t>
  </si>
  <si>
    <t>20-26 MAR</t>
  </si>
  <si>
    <t>27-31 MAR</t>
  </si>
  <si>
    <t>1-2 APR</t>
  </si>
  <si>
    <t>3-9 APR</t>
  </si>
  <si>
    <t>10-16 APR</t>
  </si>
  <si>
    <t>17-23 APR</t>
  </si>
  <si>
    <t>24-30 APR</t>
  </si>
  <si>
    <t>1 -7 MAY</t>
  </si>
  <si>
    <t>8-14 MAY</t>
  </si>
  <si>
    <t>15-21 MAY</t>
  </si>
  <si>
    <t>22-28 MAY</t>
  </si>
  <si>
    <t>29-31 MAY</t>
  </si>
  <si>
    <t>1-4 JUN</t>
  </si>
  <si>
    <t>5-11 JUN</t>
  </si>
  <si>
    <t>12 -18 JUN</t>
  </si>
  <si>
    <t>19-25 JUN</t>
  </si>
  <si>
    <t>26-30 JUN</t>
  </si>
  <si>
    <t>227HLAXP34</t>
  </si>
  <si>
    <t>1-2 JUL</t>
  </si>
  <si>
    <t>3-9 JUL</t>
  </si>
  <si>
    <t>10-16 JUL</t>
  </si>
  <si>
    <t>17-23 JUL</t>
  </si>
  <si>
    <t>24-30 JUL</t>
  </si>
  <si>
    <t>31 JUL</t>
  </si>
  <si>
    <t>227HLAXP34-MU</t>
  </si>
  <si>
    <t>1-6 AUG</t>
  </si>
  <si>
    <t>7-13 AUG</t>
  </si>
  <si>
    <t>14-20 AUG</t>
  </si>
  <si>
    <t>21-27 AUG</t>
  </si>
  <si>
    <t>28-31 AUG</t>
  </si>
  <si>
    <t>1-3 SEP</t>
  </si>
  <si>
    <t>4-10 SEP</t>
  </si>
  <si>
    <t>11-17 SEP</t>
  </si>
  <si>
    <t>18-24 SEP</t>
  </si>
  <si>
    <t>25-30 SEP</t>
  </si>
  <si>
    <t>1 OCT</t>
  </si>
  <si>
    <t>2-8 OCT</t>
  </si>
  <si>
    <t>9-15 OCT</t>
  </si>
  <si>
    <t>16-22 OCT</t>
  </si>
  <si>
    <t>23-29 OCT</t>
  </si>
  <si>
    <t>30-31 OCT</t>
  </si>
  <si>
    <t>1-5 NOV</t>
  </si>
  <si>
    <t>6-12 NOV</t>
  </si>
  <si>
    <t>13-19 NOV</t>
  </si>
  <si>
    <t>20-26 NOV</t>
  </si>
  <si>
    <t>27-30 NOV</t>
  </si>
  <si>
    <t>1-3 DEC</t>
  </si>
  <si>
    <t>4-10 DEC</t>
  </si>
  <si>
    <t>11-17 DEC</t>
  </si>
  <si>
    <t>18-24 DEC</t>
  </si>
  <si>
    <t>25-31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</si>
</sst>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;@"/>
    <numFmt numFmtId="165" formatCode="&quot;$&quot;#,##0.00"/>
    <numFmt numFmtId="166" formatCode="&quot;$&quot;#,##0"/>
    <numFmt numFmtId="167" formatCode="_(&quot;$&quot;* #,##0.00_);_(&quot;$&quot;* (#,##0.00);_(&quot;$&quot;* &quot;-&quot;??_);_(@_)"/>
    <numFmt numFmtId="168" formatCode="[$-409]d-mmm;@"/>
  </numFmts>
  <fonts count="18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family val="2"/>
      <sz val="10"/>
      <name val="Arial"/>
    </font>
    <font>
      <family val="2"/>
      <sz val="10"/>
      <name val="Arial"/>
    </font>
    <font>
      <b/>
      <i/>
      <family val="2"/>
      <sz val="10"/>
      <name val="Arial"/>
    </font>
    <font>
      <b/>
      <family val="2"/>
      <sz val="9"/>
      <name val="Arial"/>
    </font>
    <font>
      <color indexed="8"/>
      <family val="2"/>
      <sz val="10"/>
      <name val="Arial"/>
    </font>
    <font>
      <sz val="10"/>
      <name val="Arial"/>
    </font>
    <font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8"/>
      <name val="Arial"/>
    </font>
    <font>
      <color indexed="8"/>
      <family val="2"/>
      <sz val="9"/>
      <name val="Arial"/>
    </font>
    <font>
      <family val="2"/>
      <sz val="9"/>
      <name val="Arial"/>
    </font>
    <font>
      <family val="2"/>
      <sz val="8"/>
      <name val="Arial"/>
    </font>
    <font>
      <b/>
      <color indexed="8"/>
      <family val="2"/>
      <sz val="9"/>
      <name val="Arial"/>
    </font>
    <font>
      <b/>
      <color indexed="8"/>
      <family val="2"/>
      <sz val="8"/>
      <name val="Arial"/>
    </font>
    <font>
      <color indexed="8"/>
      <family val="1"/>
      <sz val="11"/>
      <name val="Garamond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2" borderId="0" xfId="0" applyFont="1" applyFill="1" applyProtection="1">
      <protection locked="0"/>
    </xf>
    <xf numFmtId="0" fontId="8" fillId="0" borderId="0" xfId="0" applyFont="1" applyProtection="1">
      <protection locked="0"/>
    </xf>
    <xf numFmtId="0" fontId="9" fillId="0" borderId="1" xfId="0" applyFont="1" applyBorder="1" applyProtection="1">
      <protection locked="0"/>
    </xf>
    <xf numFmtId="0" fontId="7" fillId="0" borderId="1" xfId="0" applyFont="1" applyBorder="1" applyProtection="1">
      <protection locked="0"/>
    </xf>
    <xf numFmtId="16" fontId="7" fillId="0" borderId="1" xfId="0" applyNumberFormat="1" applyFont="1" applyBorder="1" applyProtection="1"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15" fontId="9" fillId="0" borderId="1" xfId="0" applyNumberFormat="1" applyFont="1" applyBorder="1" applyProtection="1">
      <protection locked="0"/>
    </xf>
    <xf numFmtId="0" fontId="10" fillId="2" borderId="2" xfId="0" applyFont="1" applyFill="1" applyBorder="1" applyAlignment="1" applyProtection="1">
      <alignment horizontal="center"/>
      <protection locked="0"/>
    </xf>
    <xf numFmtId="0" fontId="10" fillId="2" borderId="3" xfId="0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Alignment="1" applyProtection="1">
      <alignment horizontal="center"/>
      <protection locked="0"/>
    </xf>
    <xf numFmtId="0" fontId="10" fillId="2" borderId="5" xfId="0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 vertical="justify"/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0" fontId="10" fillId="2" borderId="6" xfId="0" applyFont="1" applyFill="1" applyBorder="1" applyAlignment="1" applyProtection="1">
      <alignment horizontal="center"/>
      <protection locked="0"/>
    </xf>
    <xf numFmtId="0" fontId="10" fillId="2" borderId="6" xfId="0" applyFont="1" applyFill="1" applyBorder="1" applyProtection="1">
      <protection locked="0"/>
    </xf>
    <xf numFmtId="0" fontId="11" fillId="0" borderId="7" xfId="0" applyFont="1" applyBorder="1" applyAlignment="1" applyProtection="1">
      <alignment horizontal="center"/>
      <protection locked="0"/>
    </xf>
    <xf numFmtId="0" fontId="10" fillId="2" borderId="10" xfId="0" applyFont="1" applyFill="1" applyBorder="1" applyAlignment="1" applyProtection="1">
      <alignment horizontal="center"/>
      <protection locked="0"/>
    </xf>
    <xf numFmtId="0" fontId="13" fillId="0" borderId="10" xfId="0" applyFont="1" applyBorder="1" applyAlignment="1">
      <alignment horizontal="center" vertical="center" wrapText="1"/>
    </xf>
    <xf numFmtId="0" fontId="7" fillId="0" borderId="10" xfId="0" applyFont="1" applyBorder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2" fillId="0" borderId="10" xfId="0" applyFont="1" applyBorder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center"/>
      <protection locked="0"/>
    </xf>
    <xf numFmtId="0" fontId="6" fillId="0" borderId="6" xfId="0" applyFont="1" applyBorder="1" applyProtection="1">
      <protection locked="0"/>
    </xf>
    <xf numFmtId="165" fontId="10" fillId="2" borderId="10" xfId="0" applyNumberFormat="1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11" fillId="0" borderId="11" xfId="0" applyFont="1" applyBorder="1" applyAlignment="1" applyProtection="1">
      <alignment horizontal="center"/>
      <protection locked="0"/>
    </xf>
    <xf numFmtId="165" fontId="10" fillId="2" borderId="11" xfId="0" applyNumberFormat="1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Protection="1">
      <protection locked="0"/>
    </xf>
    <xf numFmtId="14" fontId="6" fillId="0" borderId="10" xfId="0" applyNumberFormat="1" applyFont="1" applyBorder="1" applyAlignment="1" applyProtection="1">
      <alignment horizontal="center"/>
      <protection locked="0"/>
    </xf>
    <xf numFmtId="2" fontId="6" fillId="3" borderId="10" xfId="0" applyNumberFormat="1" applyFont="1" applyFill="1" applyBorder="1" applyAlignment="1" applyProtection="1">
      <alignment horizontal="center"/>
      <protection locked="0"/>
    </xf>
    <xf numFmtId="2" fontId="6" fillId="4" borderId="10" xfId="0" applyNumberFormat="1" applyFont="1" applyFill="1" applyBorder="1" applyAlignment="1">
      <alignment horizontal="center"/>
    </xf>
    <xf numFmtId="2" fontId="6" fillId="5" borderId="10" xfId="0" applyNumberFormat="1" applyFont="1" applyFill="1" applyBorder="1" applyAlignment="1">
      <alignment horizontal="center"/>
    </xf>
    <xf numFmtId="2" fontId="3" fillId="6" borderId="10" xfId="0" applyNumberFormat="1" applyFont="1" applyFill="1" applyBorder="1" applyAlignment="1">
      <alignment horizontal="center"/>
    </xf>
    <xf numFmtId="166" fontId="6" fillId="2" borderId="10" xfId="0" applyNumberFormat="1" applyFont="1" applyFill="1" applyBorder="1" applyAlignment="1" applyProtection="1">
      <alignment horizontal="center"/>
      <protection locked="0"/>
    </xf>
    <xf numFmtId="0" fontId="6" fillId="3" borderId="10" xfId="0" applyFont="1" applyFill="1" applyBorder="1" applyAlignment="1" applyProtection="1">
      <alignment horizontal="center"/>
      <protection locked="0"/>
    </xf>
    <xf numFmtId="0" fontId="6" fillId="4" borderId="10" xfId="0" applyFont="1" applyFill="1" applyBorder="1" applyAlignment="1" applyProtection="1">
      <alignment horizontal="center"/>
      <protection locked="0"/>
    </xf>
    <xf numFmtId="0" fontId="7" fillId="3" borderId="10" xfId="0" applyFont="1" applyFill="1" applyBorder="1" applyAlignment="1" applyProtection="1">
      <alignment horizontal="center"/>
      <protection locked="0"/>
    </xf>
    <xf numFmtId="166" fontId="3" fillId="2" borderId="6" xfId="0" applyNumberFormat="1" applyFont="1" applyFill="1" applyBorder="1" applyAlignment="1">
      <alignment horizontal="center"/>
    </xf>
    <xf numFmtId="14" fontId="6" fillId="0" borderId="6" xfId="0" applyNumberFormat="1" applyFont="1" applyBorder="1" applyAlignment="1" applyProtection="1">
      <alignment horizontal="center"/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0" fontId="7" fillId="3" borderId="6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166" fontId="6" fillId="2" borderId="6" xfId="0" applyNumberFormat="1" applyFont="1" applyFill="1" applyBorder="1" applyAlignment="1" applyProtection="1">
      <alignment horizontal="center"/>
      <protection locked="0"/>
    </xf>
    <xf numFmtId="166" fontId="6" fillId="2" borderId="12" xfId="0" applyNumberFormat="1" applyFont="1" applyFill="1" applyBorder="1" applyAlignment="1" applyProtection="1">
      <alignment horizontal="center"/>
      <protection locked="0"/>
    </xf>
    <xf numFmtId="166" fontId="6" fillId="2" borderId="13" xfId="0" applyNumberFormat="1" applyFont="1" applyFill="1" applyBorder="1" applyAlignment="1" applyProtection="1">
      <alignment horizontal="center"/>
      <protection locked="0"/>
    </xf>
    <xf numFmtId="166" fontId="3" fillId="2" borderId="13" xfId="0" applyNumberFormat="1" applyFont="1" applyFill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5" borderId="6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166" fontId="10" fillId="2" borderId="14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0" fillId="0" borderId="8" xfId="0" applyFont="1" applyBorder="1" applyAlignment="1" applyProtection="1">
      <alignment horizontal="left"/>
      <protection locked="0"/>
    </xf>
    <xf numFmtId="0" fontId="7" fillId="0" borderId="8" xfId="0" applyFont="1" applyBorder="1" applyProtection="1">
      <protection locked="0"/>
    </xf>
    <xf numFmtId="0" fontId="6" fillId="0" borderId="0" xfId="0" applyFont="1" applyProtection="1">
      <protection locked="0"/>
    </xf>
    <xf numFmtId="0" fontId="6" fillId="3" borderId="0" xfId="0" applyFont="1" applyFill="1" applyProtection="1">
      <protection locked="0"/>
    </xf>
    <xf numFmtId="0" fontId="10" fillId="3" borderId="0" xfId="0" applyFont="1" applyFill="1" applyProtection="1">
      <protection locked="0"/>
    </xf>
    <xf numFmtId="0" fontId="7" fillId="3" borderId="0" xfId="0" applyFont="1" applyFill="1" applyProtection="1">
      <protection locked="0"/>
    </xf>
    <xf numFmtId="0" fontId="14" fillId="0" borderId="0" xfId="0" applyFont="1" applyProtection="1">
      <protection locked="0"/>
    </xf>
    <xf numFmtId="0" fontId="10" fillId="0" borderId="0" xfId="0" applyFont="1" applyProtection="1">
      <protection locked="0"/>
    </xf>
    <xf numFmtId="167" fontId="10" fillId="0" borderId="0" xfId="0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15" fillId="0" borderId="6" xfId="0" applyFont="1" applyBorder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10" fillId="0" borderId="6" xfId="0" applyFont="1" applyBorder="1" applyAlignment="1">
      <alignment horizontal="center"/>
    </xf>
    <xf numFmtId="0" fontId="10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center" vertical="top" wrapText="1"/>
      <protection locked="0"/>
    </xf>
    <xf numFmtId="0" fontId="11" fillId="0" borderId="6" xfId="0" applyFont="1" applyBorder="1" applyAlignment="1" applyProtection="1">
      <alignment horizontal="center" vertical="top" wrapText="1"/>
      <protection locked="0"/>
    </xf>
    <xf numFmtId="0" fontId="6" fillId="0" borderId="2" xfId="0" applyFont="1" applyBorder="1" applyAlignment="1" applyProtection="1">
      <alignment horizontal="center" vertical="top" wrapText="1"/>
      <protection locked="0"/>
    </xf>
    <xf numFmtId="0" fontId="6" fillId="0" borderId="3" xfId="0" applyFont="1" applyBorder="1" applyAlignment="1" applyProtection="1">
      <alignment horizontal="center" vertical="top" wrapText="1"/>
      <protection locked="0"/>
    </xf>
    <xf numFmtId="0" fontId="6" fillId="0" borderId="4" xfId="0" applyFont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14" fontId="12" fillId="3" borderId="6" xfId="0" applyNumberFormat="1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vertical="top" wrapText="1"/>
      <protection locked="0"/>
    </xf>
    <xf numFmtId="0" fontId="17" fillId="3" borderId="2" xfId="0" applyFont="1" applyFill="1" applyBorder="1" applyAlignment="1" applyProtection="1">
      <alignment horizontal="center" vertical="top" wrapText="1"/>
      <protection locked="0"/>
    </xf>
    <xf numFmtId="0" fontId="17" fillId="3" borderId="3" xfId="0" applyFont="1" applyFill="1" applyBorder="1" applyAlignment="1" applyProtection="1">
      <alignment horizontal="center" vertical="top" wrapText="1"/>
      <protection locked="0"/>
    </xf>
    <xf numFmtId="0" fontId="17" fillId="3" borderId="4" xfId="0" applyFont="1" applyFill="1" applyBorder="1" applyAlignment="1" applyProtection="1">
      <alignment horizontal="center" vertical="top" wrapText="1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17" fillId="3" borderId="6" xfId="0" applyFont="1" applyFill="1" applyBorder="1" applyAlignment="1" applyProtection="1">
      <alignment vertical="top" wrapText="1"/>
      <protection locked="0"/>
    </xf>
    <xf numFmtId="0" fontId="17" fillId="3" borderId="6" xfId="0" applyFont="1" applyFill="1" applyBorder="1" applyAlignment="1" applyProtection="1">
      <alignment horizontal="center" vertical="top" wrapText="1"/>
      <protection locked="0"/>
    </xf>
    <xf numFmtId="0" fontId="11" fillId="0" borderId="2" xfId="0" applyFont="1" applyBorder="1" applyAlignment="1" applyProtection="1">
      <alignment horizontal="center" vertical="top" wrapText="1"/>
      <protection locked="0"/>
    </xf>
    <xf numFmtId="0" fontId="11" fillId="0" borderId="4" xfId="0" applyFont="1" applyBorder="1" applyAlignment="1" applyProtection="1">
      <alignment horizontal="center" vertical="top" wrapText="1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15" fontId="9" fillId="0" borderId="1" xfId="0" applyNumberFormat="1" applyFont="1" applyBorder="1" applyAlignment="1" applyProtection="1">
      <alignment horizontal="left"/>
      <protection locked="0"/>
    </xf>
    <xf numFmtId="168" fontId="6" fillId="0" borderId="10" xfId="0" applyNumberFormat="1" applyFont="1" applyBorder="1" applyAlignment="1" applyProtection="1">
      <alignment horizontal="center"/>
      <protection locked="0"/>
    </xf>
    <xf numFmtId="168" fontId="6" fillId="0" borderId="6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5.xml"/><Relationship Id="rId7" Type="http://schemas.openxmlformats.org/officeDocument/2006/relationships/worksheet" Target="worksheets/sheet24.xml"/><Relationship Id="rId8" Type="http://schemas.openxmlformats.org/officeDocument/2006/relationships/worksheet" Target="worksheets/sheet26.xml"/><Relationship Id="rId9" Type="http://schemas.openxmlformats.org/officeDocument/2006/relationships/worksheet" Target="worksheets/sheet27.xml"/><Relationship Id="rId10" Type="http://schemas.openxmlformats.org/officeDocument/2006/relationships/worksheet" Target="worksheets/sheet28.xml"/><Relationship Id="rId11" Type="http://schemas.openxmlformats.org/officeDocument/2006/relationships/worksheet" Target="worksheets/sheet29.xml"/><Relationship Id="rId12" Type="http://schemas.openxmlformats.org/officeDocument/2006/relationships/worksheet" Target="worksheets/sheet30.xml"/><Relationship Id="rId13" Type="http://schemas.openxmlformats.org/officeDocument/2006/relationships/worksheet" Target="worksheets/sheet31.xml"/><Relationship Id="rId14" Type="http://schemas.openxmlformats.org/officeDocument/2006/relationships/worksheet" Target="worksheets/sheet32.xml"/><Relationship Id="rId15" Type="http://schemas.openxmlformats.org/officeDocument/2006/relationships/worksheet" Target="worksheets/sheet33.xml"/><Relationship Id="rId16" Type="http://schemas.openxmlformats.org/officeDocument/2006/relationships/worksheet" Target="worksheets/sheet3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"/>
  <sheetViews>
    <sheetView workbookViewId="0" zoomScale="100" zoomScaleNormal="100">
      <selection activeCell="T22" sqref="T22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10.285156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10.1406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16384" width="9.140625" style="8" customWidth="1"/>
  </cols>
  <sheetData>
    <row r="1" spans="1:2" x14ac:dyDescent="0.25">
      <c r="A1" s="9" t="s">
        <v>68</v>
      </c>
      <c r="B1" s="10" t="s">
        <v>69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6"/>
      <c r="P2" s="17" t="s">
        <v>71</v>
      </c>
      <c r="Q2" s="18"/>
      <c r="R2" s="18"/>
      <c r="S2" s="19"/>
      <c r="T2" s="16"/>
      <c r="AB2" s="20" t="s">
        <v>72</v>
      </c>
      <c r="AC2" s="21" t="s">
        <v>73</v>
      </c>
    </row>
    <row r="3" ht="12.75" customHeight="1" spans="1:29" x14ac:dyDescent="0.25">
      <c r="A3" s="22" t="s">
        <v>74</v>
      </c>
      <c r="B3" s="23" t="s">
        <v>75</v>
      </c>
      <c r="C3" s="24" t="s">
        <v>76</v>
      </c>
      <c r="D3" s="25" t="s">
        <v>77</v>
      </c>
      <c r="E3" s="26" t="s">
        <v>78</v>
      </c>
      <c r="F3" s="27" t="s">
        <v>79</v>
      </c>
      <c r="G3" s="28"/>
      <c r="H3" s="28"/>
      <c r="I3" s="29"/>
      <c r="J3" s="27" t="s">
        <v>80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91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101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102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/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103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/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104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/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105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/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 t="s">
        <v>106</v>
      </c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19" x14ac:dyDescent="0.25">
      <c r="A26" s="73"/>
      <c r="B26" s="78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3"/>
      <c r="Q27" s="73"/>
      <c r="R27" s="73"/>
      <c r="S27" s="73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2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  <c r="AB32" s="7"/>
      <c r="AC32" s="7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1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</row>
    <row r="35" ht="1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85"/>
      <c r="Q38" s="85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73"/>
      <c r="Q40" s="73"/>
      <c r="R40" s="73"/>
      <c r="S40" s="73"/>
    </row>
    <row r="41" ht="12.75" customHeight="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2.7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spans="1:17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6"/>
      <c r="Q53" s="76"/>
    </row>
    <row r="54" spans="2:17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P54" s="76"/>
      <c r="Q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ht="12.75" customHeight="1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2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</row>
  </sheetData>
  <sheetProtection sheet="1" selectLockedCells="1"/>
  <mergeCells count="45">
    <mergeCell ref="P2:S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AA9" sqref="AA9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69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107" t="s">
        <v>143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144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/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145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/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146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/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147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/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I16" sqref="I16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69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107" t="s">
        <v>138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139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/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140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/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141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/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142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/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workbookViewId="0" zoomScale="100" zoomScaleNormal="100">
      <selection activeCell="AD34" sqref="AD34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10.285156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69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148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149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>
        <f>0</f>
      </c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150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>
        <f>0</f>
      </c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151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>
        <f>0</f>
      </c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152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>
        <f>0</f>
      </c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35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  <c r="AI25" s="8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B21" sqref="B21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10.285156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69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153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>
        <f>0</f>
      </c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154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/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155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>
        <f>0</f>
      </c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156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157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10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AJ21" sqref="AJ21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69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158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>
        <f>0</f>
      </c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159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>
        <f>0</f>
      </c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160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>
        <f>0</f>
      </c>
      <c r="L7" s="49">
        <f>0</f>
      </c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161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162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"/>
  <sheetViews>
    <sheetView workbookViewId="0" zoomScale="100" zoomScaleNormal="100">
      <selection activeCell="K10" sqref="K10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10.285156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163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164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>
        <f>0</f>
      </c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165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>
        <f>0</f>
      </c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166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>
        <f>0</f>
      </c>
      <c r="L7" s="49">
        <f>0</f>
      </c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167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>
        <f>0</f>
      </c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168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 t="s">
        <v>169</v>
      </c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>
        <f>0</f>
      </c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19" x14ac:dyDescent="0.25">
      <c r="A26" s="73"/>
      <c r="B26" s="78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3"/>
      <c r="Q27" s="73"/>
      <c r="R27" s="73"/>
      <c r="S27" s="73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2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  <c r="AB32" s="7"/>
      <c r="AC32" s="7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1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85"/>
      <c r="Q38" s="85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73"/>
      <c r="Q40" s="73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7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6"/>
      <c r="Q53" s="76"/>
    </row>
    <row r="54" spans="2:17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P54" s="76"/>
      <c r="Q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2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AA9" sqref="AA9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170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107" t="s">
        <v>171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>
        <f>0</f>
      </c>
      <c r="L5" s="49">
        <f>0</f>
      </c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172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>
        <f>0</f>
      </c>
      <c r="L6" s="49">
        <f>0</f>
      </c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173</v>
      </c>
      <c r="C7" s="49"/>
      <c r="D7" s="50">
        <f>C7*(X7+Z7)</f>
      </c>
      <c r="E7" s="51">
        <f>SUM(F7+(G7*1.5)+(H7*2)+I7)</f>
      </c>
      <c r="F7" s="49"/>
      <c r="G7" s="49">
        <f>0</f>
      </c>
      <c r="H7" s="49"/>
      <c r="I7" s="49"/>
      <c r="J7" s="51">
        <f>SUM(K7+(L7*1.5)+(M7*2)+N7)</f>
      </c>
      <c r="K7" s="49">
        <f>0</f>
      </c>
      <c r="L7" s="49">
        <f>0</f>
      </c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174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>
        <f>0</f>
      </c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175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10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U21" sqref="U21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170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176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>
        <f>0</f>
      </c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177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>
        <f>0</f>
      </c>
      <c r="L6" s="49">
        <f>0</f>
      </c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178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>
        <f>0</f>
      </c>
      <c r="L7" s="49">
        <f>0</f>
      </c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179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>
        <f>0</f>
      </c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180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>
        <f>0</f>
      </c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"/>
  <sheetViews>
    <sheetView workbookViewId="0" zoomScale="100" zoomScaleNormal="100">
      <selection activeCell="F10" sqref="F10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10.285156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 t="s">
        <v>170</v>
      </c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181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182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>
        <f>0</f>
      </c>
      <c r="L6" s="49">
        <f>0</f>
      </c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183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>
        <f>0</f>
      </c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184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>
        <f>0</f>
      </c>
      <c r="L8" s="49">
        <f>0</f>
      </c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185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>
        <f>0</f>
      </c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 t="s">
        <v>186</v>
      </c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>
        <f>0</f>
      </c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19" x14ac:dyDescent="0.25">
      <c r="A26" s="73"/>
      <c r="B26" s="78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3"/>
      <c r="Q27" s="73"/>
      <c r="R27" s="73"/>
      <c r="S27" s="73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2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  <c r="AB32" s="7"/>
      <c r="AC32" s="7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1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85"/>
      <c r="Q38" s="85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73"/>
      <c r="Q40" s="73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7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6"/>
      <c r="Q53" s="76"/>
    </row>
    <row r="54" spans="2:17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P54" s="76"/>
      <c r="Q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2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A19" sqref="A19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/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107" t="s">
        <v>187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188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/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189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/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190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/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108" t="s">
        <v>191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/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10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"/>
  <sheetViews>
    <sheetView workbookViewId="0" zoomScale="100" zoomScaleNormal="100">
      <selection activeCell="U19" sqref="U19"/>
    </sheetView>
  </sheetViews>
  <sheetFormatPr defaultRowHeight="12.75" outlineLevelRow="0" outlineLevelCol="0" x14ac:dyDescent="0" customHeight="1"/>
  <cols>
    <col min="1" max="1" width="10.140625" style="8" customWidth="1"/>
    <col min="2" max="2" width="20.140625" style="8" customWidth="1"/>
    <col min="3" max="3" width="9.42578125" style="8" customWidth="1"/>
    <col min="4" max="4" width="9.7109375" style="8" customWidth="1"/>
    <col min="5" max="5" width="9.85546875" style="8" customWidth="1"/>
    <col min="6" max="9" width="7.7109375" style="8" customWidth="1"/>
    <col min="10" max="10" width="8.42578125" style="8" customWidth="1"/>
    <col min="11" max="14" width="7.7109375" style="8" customWidth="1"/>
    <col min="15" max="15" width="8.5703125" style="8" customWidth="1"/>
    <col min="16" max="18" width="7.7109375" style="8" hidden="1" customWidth="1"/>
    <col min="19" max="19" width="8.42578125" style="8" hidden="1" customWidth="1"/>
    <col min="20" max="20" width="8.28515625" style="8" customWidth="1"/>
    <col min="21" max="21" width="8.5703125" style="8" customWidth="1"/>
    <col min="22" max="22" width="9" style="8" customWidth="1"/>
    <col min="23" max="23" width="10.140625" style="8" customWidth="1"/>
    <col min="24" max="24" width="7.85546875" style="8" customWidth="1"/>
    <col min="25" max="25" width="7.7109375" style="8" customWidth="1"/>
    <col min="26" max="26" width="8.140625" style="8" customWidth="1"/>
    <col min="27" max="27" width="8.28515625" style="8" customWidth="1"/>
    <col min="28" max="29" width="7.7109375" style="8" hidden="1" customWidth="1"/>
    <col min="30" max="31" width="7.7109375" style="8" customWidth="1"/>
    <col min="32" max="16384" width="9.140625" style="8" customWidth="1"/>
  </cols>
  <sheetData>
    <row r="1" spans="1:2" x14ac:dyDescent="0.25">
      <c r="A1" s="9" t="s">
        <v>68</v>
      </c>
      <c r="B1" s="10"/>
    </row>
    <row r="2" ht="15.75" customHeight="1" spans="1:29" s="11" customFormat="1" x14ac:dyDescent="0.25">
      <c r="A2" s="12" t="s">
        <v>70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5"/>
      <c r="M2" s="13"/>
      <c r="N2" s="13"/>
      <c r="O2" s="106"/>
      <c r="P2" s="106"/>
      <c r="Q2" s="106"/>
      <c r="R2" s="106"/>
      <c r="S2" s="106"/>
      <c r="T2" s="106"/>
      <c r="AB2" s="20" t="s">
        <v>72</v>
      </c>
      <c r="AC2" s="21" t="s">
        <v>73</v>
      </c>
    </row>
    <row r="3" spans="1:29" x14ac:dyDescent="0.25">
      <c r="A3" s="22" t="s">
        <v>74</v>
      </c>
      <c r="B3" s="23" t="s">
        <v>75</v>
      </c>
      <c r="C3" s="24" t="s">
        <v>135</v>
      </c>
      <c r="D3" s="25" t="s">
        <v>135</v>
      </c>
      <c r="E3" s="26" t="s">
        <v>78</v>
      </c>
      <c r="F3" s="27" t="s">
        <v>79</v>
      </c>
      <c r="G3" s="28"/>
      <c r="H3" s="28"/>
      <c r="I3" s="29"/>
      <c r="J3" s="27" t="s">
        <v>136</v>
      </c>
      <c r="K3" s="30" t="s">
        <v>81</v>
      </c>
      <c r="L3" s="31"/>
      <c r="M3" s="31"/>
      <c r="N3" s="32"/>
      <c r="O3" s="25" t="s">
        <v>82</v>
      </c>
      <c r="P3" s="33" t="s">
        <v>83</v>
      </c>
      <c r="Q3" s="33" t="s">
        <v>30</v>
      </c>
      <c r="R3" s="33" t="s">
        <v>31</v>
      </c>
      <c r="S3" s="34" t="s">
        <v>32</v>
      </c>
      <c r="T3" s="30" t="s">
        <v>84</v>
      </c>
      <c r="U3" s="30" t="s">
        <v>85</v>
      </c>
      <c r="V3" s="30" t="s">
        <v>86</v>
      </c>
      <c r="W3" s="35" t="s">
        <v>87</v>
      </c>
      <c r="X3" s="35" t="s">
        <v>86</v>
      </c>
      <c r="Y3" s="30" t="s">
        <v>88</v>
      </c>
      <c r="Z3" s="30" t="s">
        <v>72</v>
      </c>
      <c r="AA3" s="22" t="s">
        <v>89</v>
      </c>
      <c r="AB3" s="36" t="s">
        <v>90</v>
      </c>
      <c r="AC3" s="37"/>
    </row>
    <row r="4" spans="1:29" x14ac:dyDescent="0.25">
      <c r="A4" s="38"/>
      <c r="B4" s="38"/>
      <c r="C4" s="39" t="s">
        <v>137</v>
      </c>
      <c r="D4" s="40" t="s">
        <v>92</v>
      </c>
      <c r="E4" s="41" t="s">
        <v>93</v>
      </c>
      <c r="F4" s="26" t="s">
        <v>83</v>
      </c>
      <c r="G4" s="26" t="s">
        <v>30</v>
      </c>
      <c r="H4" s="26" t="s">
        <v>31</v>
      </c>
      <c r="I4" s="27" t="s">
        <v>32</v>
      </c>
      <c r="J4" s="27" t="s">
        <v>94</v>
      </c>
      <c r="K4" s="26" t="s">
        <v>83</v>
      </c>
      <c r="L4" s="26" t="s">
        <v>30</v>
      </c>
      <c r="M4" s="26" t="s">
        <v>31</v>
      </c>
      <c r="N4" s="42" t="s">
        <v>32</v>
      </c>
      <c r="O4" s="39" t="s">
        <v>95</v>
      </c>
      <c r="P4" s="43"/>
      <c r="Q4" s="43"/>
      <c r="R4" s="43"/>
      <c r="S4" s="43"/>
      <c r="T4" s="44" t="s">
        <v>96</v>
      </c>
      <c r="U4" s="44" t="s">
        <v>97</v>
      </c>
      <c r="V4" s="44" t="s">
        <v>96</v>
      </c>
      <c r="W4" s="45" t="s">
        <v>98</v>
      </c>
      <c r="X4" s="45" t="s">
        <v>98</v>
      </c>
      <c r="Y4" s="44" t="s">
        <v>99</v>
      </c>
      <c r="Z4" s="44" t="s">
        <v>99</v>
      </c>
      <c r="AA4" s="39" t="s">
        <v>100</v>
      </c>
      <c r="AB4" s="46"/>
      <c r="AC4" s="47"/>
    </row>
    <row r="5" spans="1:29" x14ac:dyDescent="0.25">
      <c r="A5" s="26">
        <v>1</v>
      </c>
      <c r="B5" s="48" t="s">
        <v>192</v>
      </c>
      <c r="C5" s="49"/>
      <c r="D5" s="50">
        <f>C5*(X5+Z5)</f>
      </c>
      <c r="E5" s="51">
        <f>SUM(F5+(G5*1.5)+(H5*2)+I5)</f>
      </c>
      <c r="F5" s="49"/>
      <c r="G5" s="49"/>
      <c r="H5" s="49"/>
      <c r="I5" s="49"/>
      <c r="J5" s="51">
        <f>SUM(K5+(L5*1.5)+(M5*2)+N5)</f>
      </c>
      <c r="K5" s="49"/>
      <c r="L5" s="49"/>
      <c r="M5" s="49"/>
      <c r="N5" s="49"/>
      <c r="O5" s="52">
        <f> SUM((E5-J5)-D5)</f>
      </c>
      <c r="P5" s="53">
        <f>K5*P4</f>
      </c>
      <c r="Q5" s="53">
        <f>L5*Q4</f>
      </c>
      <c r="R5" s="53">
        <f>M5*R4</f>
      </c>
      <c r="S5" s="53">
        <f>N5*S4</f>
      </c>
      <c r="T5" s="54"/>
      <c r="U5" s="54"/>
      <c r="V5" s="54"/>
      <c r="W5" s="54"/>
      <c r="X5" s="55"/>
      <c r="Y5" s="54"/>
      <c r="Z5" s="55"/>
      <c r="AA5" s="56"/>
      <c r="AB5" s="53">
        <f>Z5*AB4</f>
      </c>
      <c r="AC5" s="57">
        <f>SUM(P5:S5)+AB5</f>
      </c>
    </row>
    <row r="6" spans="1:29" x14ac:dyDescent="0.25">
      <c r="A6" s="26">
        <v>2</v>
      </c>
      <c r="B6" s="58" t="s">
        <v>193</v>
      </c>
      <c r="C6" s="49"/>
      <c r="D6" s="50">
        <f>C6*(X6+Z6)</f>
      </c>
      <c r="E6" s="51">
        <f>SUM(F6+(G6*1.5)+(H6*2)+I6)</f>
      </c>
      <c r="F6" s="49"/>
      <c r="G6" s="49"/>
      <c r="H6" s="49"/>
      <c r="I6" s="49"/>
      <c r="J6" s="51">
        <f>SUM(K6+(L6*1.5)+(M6*2)+N6)</f>
      </c>
      <c r="K6" s="49"/>
      <c r="L6" s="49"/>
      <c r="M6" s="49"/>
      <c r="N6" s="49"/>
      <c r="O6" s="52">
        <f> SUM((E6-J6)-D6)</f>
      </c>
      <c r="P6" s="53">
        <f>K6*P4</f>
      </c>
      <c r="Q6" s="53">
        <f>L6*Q4</f>
      </c>
      <c r="R6" s="53">
        <f>M6*R4</f>
      </c>
      <c r="S6" s="53">
        <f>N6*S4</f>
      </c>
      <c r="T6" s="54"/>
      <c r="U6" s="54"/>
      <c r="V6" s="54"/>
      <c r="W6" s="54"/>
      <c r="X6" s="55"/>
      <c r="Y6" s="54"/>
      <c r="Z6" s="59"/>
      <c r="AA6" s="60"/>
      <c r="AB6" s="53">
        <f>Z6*AB4</f>
      </c>
      <c r="AC6" s="57">
        <f>SUM(P6:S6)+AB6</f>
      </c>
    </row>
    <row r="7" spans="1:29" x14ac:dyDescent="0.25">
      <c r="A7" s="26">
        <v>3</v>
      </c>
      <c r="B7" s="58" t="s">
        <v>194</v>
      </c>
      <c r="C7" s="49"/>
      <c r="D7" s="50">
        <f>C7*(X7+Z7)</f>
      </c>
      <c r="E7" s="51">
        <f>SUM(F7+(G7*1.5)+(H7*2)+I7)</f>
      </c>
      <c r="F7" s="49"/>
      <c r="G7" s="49"/>
      <c r="H7" s="49"/>
      <c r="I7" s="49"/>
      <c r="J7" s="51">
        <f>SUM(K7+(L7*1.5)+(M7*2)+N7)</f>
      </c>
      <c r="K7" s="49"/>
      <c r="L7" s="49"/>
      <c r="M7" s="49"/>
      <c r="N7" s="49"/>
      <c r="O7" s="52">
        <f> SUM((E7-J7)-D7)</f>
      </c>
      <c r="P7" s="53">
        <f>K7*P4</f>
      </c>
      <c r="Q7" s="53">
        <f>L7*Q4</f>
      </c>
      <c r="R7" s="53">
        <f>M7*R4</f>
      </c>
      <c r="S7" s="53">
        <f>N7*S4</f>
      </c>
      <c r="T7" s="61"/>
      <c r="U7" s="61"/>
      <c r="V7" s="61"/>
      <c r="W7" s="61"/>
      <c r="X7" s="59"/>
      <c r="Y7" s="61"/>
      <c r="Z7" s="59"/>
      <c r="AA7" s="60"/>
      <c r="AB7" s="53">
        <f>Z7*AB4</f>
      </c>
      <c r="AC7" s="57">
        <f>SUM(P7:S7)+AB7</f>
      </c>
    </row>
    <row r="8" spans="1:29" x14ac:dyDescent="0.25">
      <c r="A8" s="26">
        <v>4</v>
      </c>
      <c r="B8" s="58" t="s">
        <v>195</v>
      </c>
      <c r="C8" s="49"/>
      <c r="D8" s="50">
        <f>C8*(X8+Z8)</f>
      </c>
      <c r="E8" s="51">
        <f>SUM(F8+(G8*1.5)+(H8*2)+I8)</f>
      </c>
      <c r="F8" s="49"/>
      <c r="G8" s="49"/>
      <c r="H8" s="49"/>
      <c r="I8" s="49"/>
      <c r="J8" s="51">
        <f>SUM(K8+(L8*1.5)+(M8*2)+N8)</f>
      </c>
      <c r="K8" s="49"/>
      <c r="L8" s="49"/>
      <c r="M8" s="49"/>
      <c r="N8" s="49"/>
      <c r="O8" s="52">
        <f> SUM((E8-J8)-D8)</f>
      </c>
      <c r="P8" s="53">
        <f>K8*P4</f>
      </c>
      <c r="Q8" s="53">
        <f>L8*Q4</f>
      </c>
      <c r="R8" s="53">
        <f>M8*R4</f>
      </c>
      <c r="S8" s="53">
        <f>N8*S4</f>
      </c>
      <c r="T8" s="61"/>
      <c r="U8" s="61"/>
      <c r="V8" s="61"/>
      <c r="W8" s="61"/>
      <c r="X8" s="59"/>
      <c r="Y8" s="61"/>
      <c r="Z8" s="59"/>
      <c r="AA8" s="60"/>
      <c r="AB8" s="53">
        <f>Z8*AB4</f>
      </c>
      <c r="AC8" s="57">
        <f>SUM(P8:S8)+AB8</f>
      </c>
    </row>
    <row r="9" spans="1:29" x14ac:dyDescent="0.25">
      <c r="A9" s="26">
        <v>5</v>
      </c>
      <c r="B9" s="58" t="s">
        <v>196</v>
      </c>
      <c r="C9" s="49"/>
      <c r="D9" s="50">
        <f>C9*(X9+Z9)</f>
      </c>
      <c r="E9" s="51">
        <f>SUM(F9+(G9*1.5)+(H9*2)+I9)</f>
      </c>
      <c r="F9" s="49"/>
      <c r="G9" s="49"/>
      <c r="H9" s="49"/>
      <c r="I9" s="49"/>
      <c r="J9" s="51">
        <f>SUM(K9+(L9*1.5)+(M9*2)+N9)</f>
      </c>
      <c r="K9" s="49"/>
      <c r="L9" s="49"/>
      <c r="M9" s="49"/>
      <c r="N9" s="49"/>
      <c r="O9" s="52">
        <f> SUM((E9-J9)-D9)</f>
      </c>
      <c r="P9" s="62">
        <f>K9*P4</f>
      </c>
      <c r="Q9" s="62">
        <f>L9*Q4</f>
      </c>
      <c r="R9" s="62">
        <f>M9*R4</f>
      </c>
      <c r="S9" s="62">
        <f>N9*S4</f>
      </c>
      <c r="T9" s="61"/>
      <c r="U9" s="61"/>
      <c r="V9" s="61"/>
      <c r="W9" s="61"/>
      <c r="X9" s="59"/>
      <c r="Y9" s="61"/>
      <c r="Z9" s="59"/>
      <c r="AA9" s="60"/>
      <c r="AB9" s="53">
        <f>Z9*AB4</f>
      </c>
      <c r="AC9" s="57">
        <f>SUM(P9:S9)+AB9</f>
      </c>
    </row>
    <row r="10" ht="13.5" customHeight="1" spans="1:29" x14ac:dyDescent="0.25">
      <c r="A10" s="26">
        <v>6</v>
      </c>
      <c r="B10" s="58"/>
      <c r="C10" s="49"/>
      <c r="D10" s="50">
        <f>C10*(X10+Z10)</f>
      </c>
      <c r="E10" s="51">
        <f>SUM(F10+(G10*1.5)+(H10*2)+I10)</f>
      </c>
      <c r="F10" s="49"/>
      <c r="G10" s="49"/>
      <c r="H10" s="49"/>
      <c r="I10" s="49"/>
      <c r="J10" s="51">
        <f>SUM(K10+(L10*1.5)+(M10*2)+N10)</f>
      </c>
      <c r="K10" s="49"/>
      <c r="L10" s="49"/>
      <c r="M10" s="49"/>
      <c r="N10" s="49"/>
      <c r="O10" s="52">
        <f> SUM((E10-J10)-D10)</f>
      </c>
      <c r="P10" s="63">
        <f>K10*P4</f>
      </c>
      <c r="Q10" s="63">
        <f>L10*Q4</f>
      </c>
      <c r="R10" s="63">
        <f>M10*R4</f>
      </c>
      <c r="S10" s="63">
        <f>N10*S4</f>
      </c>
      <c r="T10" s="61"/>
      <c r="U10" s="61"/>
      <c r="V10" s="61"/>
      <c r="W10" s="61"/>
      <c r="X10" s="59"/>
      <c r="Y10" s="61"/>
      <c r="Z10" s="59"/>
      <c r="AA10" s="60"/>
      <c r="AB10" s="64">
        <f>Z10*AB4</f>
      </c>
      <c r="AC10" s="65">
        <f>SUM(P10:S10)+AB10</f>
      </c>
    </row>
    <row r="11" ht="13.5" customHeight="1" spans="1:29" x14ac:dyDescent="0.25">
      <c r="A11" s="26" t="s">
        <v>107</v>
      </c>
      <c r="B11" s="26"/>
      <c r="C11" s="66"/>
      <c r="D11" s="66">
        <f>SUM(D5:D10)</f>
      </c>
      <c r="E11" s="67">
        <f>SUM(E5:E10)</f>
      </c>
      <c r="F11" s="66">
        <f>SUM(F5:F10)</f>
      </c>
      <c r="G11" s="66">
        <f>SUM(G5:G10)</f>
      </c>
      <c r="H11" s="66">
        <f>SUM(H5:H10)</f>
      </c>
      <c r="I11" s="66">
        <f>SUM(I5:I10)</f>
      </c>
      <c r="J11" s="67">
        <f>SUM(J5:J10)</f>
      </c>
      <c r="K11" s="66">
        <f>SUM(K5:K10)</f>
      </c>
      <c r="L11" s="66">
        <f>SUM(L5:L10)</f>
      </c>
      <c r="M11" s="66">
        <f>SUM(M5:M10)</f>
      </c>
      <c r="N11" s="66">
        <f>SUM(N5:N10)</f>
      </c>
      <c r="O11" s="68">
        <f>SUM(O5:O10)</f>
      </c>
      <c r="P11" s="69">
        <f>SUM(P5:P10)</f>
      </c>
      <c r="Q11" s="69">
        <f>SUM(Q5:Q10)</f>
      </c>
      <c r="R11" s="69">
        <f>SUM(R5:R10)</f>
      </c>
      <c r="S11" s="69">
        <f>SUM(S5:S10)</f>
      </c>
      <c r="T11" s="70">
        <f>SUM(T5:T10)</f>
      </c>
      <c r="U11" s="70">
        <f>SUM(U5:U10)</f>
      </c>
      <c r="V11" s="70">
        <f>SUM(V5:V10)</f>
      </c>
      <c r="W11" s="70">
        <f>SUM(W5:W10)</f>
      </c>
      <c r="X11" s="70">
        <f>SUM(X5:X10)</f>
      </c>
      <c r="Y11" s="70">
        <f>SUM(Y5:Y10)</f>
      </c>
      <c r="Z11" s="70">
        <f>SUM(Z5:Z10)</f>
      </c>
      <c r="AA11" s="70">
        <f>SUM(AA5:AA10)</f>
      </c>
      <c r="AB11" s="69">
        <f>SUM(AB5:AB10)</f>
      </c>
      <c r="AC11" s="69">
        <f>SUM(AC5:AC10)</f>
      </c>
    </row>
    <row r="12" ht="13.5" customHeight="1" spans="1:15" x14ac:dyDescent="0.25">
      <c r="A12" s="71" t="s">
        <v>61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3"/>
    </row>
    <row r="13" spans="1:20" x14ac:dyDescent="0.25">
      <c r="A13" s="74" t="s">
        <v>108</v>
      </c>
      <c r="B13" s="7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3"/>
      <c r="Q13" s="73"/>
      <c r="R13" s="73"/>
      <c r="S13" s="73"/>
      <c r="T13" s="76"/>
    </row>
    <row r="14" spans="1:20" x14ac:dyDescent="0.25">
      <c r="A14" s="74" t="s">
        <v>109</v>
      </c>
      <c r="B14" s="7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6"/>
    </row>
    <row r="15" spans="1:20" x14ac:dyDescent="0.25">
      <c r="A15" s="74" t="s">
        <v>110</v>
      </c>
      <c r="B15" s="7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6"/>
    </row>
    <row r="16" spans="1:20" x14ac:dyDescent="0.25">
      <c r="A16" s="74" t="s">
        <v>111</v>
      </c>
      <c r="B16" s="7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6"/>
    </row>
    <row r="17" spans="1:29" x14ac:dyDescent="0.25">
      <c r="A17" s="74" t="s">
        <v>112</v>
      </c>
      <c r="B17" s="7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6"/>
      <c r="AB17" s="77"/>
      <c r="AC17" s="77"/>
    </row>
    <row r="18" spans="1:20" x14ac:dyDescent="0.25">
      <c r="A18" s="74" t="s">
        <v>113</v>
      </c>
      <c r="B18" s="7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6"/>
    </row>
    <row r="19" spans="1:20" x14ac:dyDescent="0.25">
      <c r="A19" s="71" t="s">
        <v>114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4"/>
      <c r="O19" s="74"/>
      <c r="P19" s="74"/>
      <c r="Q19" s="74"/>
      <c r="R19" s="74"/>
      <c r="S19" s="74"/>
      <c r="T19" s="76"/>
    </row>
    <row r="20" spans="1:20" x14ac:dyDescent="0.25">
      <c r="A20" s="74" t="s">
        <v>108</v>
      </c>
      <c r="B20" s="7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6"/>
    </row>
    <row r="21" spans="1:20" x14ac:dyDescent="0.25">
      <c r="A21" s="74" t="s">
        <v>109</v>
      </c>
      <c r="B21" s="7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6"/>
    </row>
    <row r="22" spans="1:20" x14ac:dyDescent="0.25">
      <c r="A22" s="74" t="s">
        <v>110</v>
      </c>
      <c r="B22" s="7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6"/>
    </row>
    <row r="23" spans="1:20" x14ac:dyDescent="0.25">
      <c r="A23" s="74" t="s">
        <v>111</v>
      </c>
      <c r="B23" s="7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6"/>
    </row>
    <row r="24" spans="1:20" x14ac:dyDescent="0.25">
      <c r="A24" s="74" t="s">
        <v>112</v>
      </c>
      <c r="B24" s="7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6"/>
    </row>
    <row r="25" spans="1:20" x14ac:dyDescent="0.25">
      <c r="A25" s="74" t="s">
        <v>113</v>
      </c>
      <c r="B25" s="7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6"/>
    </row>
    <row r="26" spans="1:20" x14ac:dyDescent="0.25">
      <c r="A26" s="74"/>
      <c r="B26" s="7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6"/>
    </row>
    <row r="27" spans="1:19" x14ac:dyDescent="0.25">
      <c r="A27" s="79" t="s">
        <v>115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3"/>
      <c r="O27" s="73"/>
      <c r="P27" s="74"/>
      <c r="Q27" s="74"/>
      <c r="R27" s="74"/>
      <c r="S27" s="74"/>
    </row>
    <row r="28" spans="1:19" x14ac:dyDescent="0.25">
      <c r="A28" s="80"/>
      <c r="B28" s="81" t="s">
        <v>116</v>
      </c>
      <c r="C28" s="81" t="s">
        <v>88</v>
      </c>
      <c r="D28" s="82" t="s">
        <v>117</v>
      </c>
      <c r="E28" s="81" t="s">
        <v>118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</row>
    <row r="29" spans="1:19" x14ac:dyDescent="0.25">
      <c r="A29" s="80"/>
      <c r="B29" s="83" t="s">
        <v>119</v>
      </c>
      <c r="C29" s="84">
        <f>Y11</f>
      </c>
      <c r="D29" s="84">
        <f>Z11</f>
      </c>
      <c r="E29" s="84">
        <f>AA11</f>
      </c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</row>
    <row r="30" spans="1:19" x14ac:dyDescent="0.25">
      <c r="A30" s="85"/>
      <c r="B30" s="85"/>
      <c r="C30" s="85"/>
      <c r="D30" s="85"/>
      <c r="E30" s="85"/>
      <c r="F30" s="85"/>
      <c r="G30" s="85"/>
      <c r="H30" s="85"/>
      <c r="I30" s="85"/>
      <c r="J30" s="73"/>
      <c r="K30" s="73"/>
      <c r="L30" s="73"/>
      <c r="M30" s="73"/>
      <c r="N30" s="73"/>
      <c r="O30" s="73"/>
      <c r="P30" s="73"/>
      <c r="Q30" s="73"/>
      <c r="R30" s="73"/>
      <c r="S30" s="73"/>
    </row>
    <row r="31" spans="1:19" x14ac:dyDescent="0.25">
      <c r="A31" s="85" t="s">
        <v>120</v>
      </c>
      <c r="B31" s="85"/>
      <c r="C31" s="85"/>
      <c r="D31" s="85"/>
      <c r="E31" s="85"/>
      <c r="F31" s="85"/>
      <c r="G31" s="85"/>
      <c r="H31" s="85"/>
      <c r="I31" s="85"/>
      <c r="J31" s="73"/>
      <c r="K31" s="73"/>
      <c r="L31" s="73"/>
      <c r="M31" s="73"/>
      <c r="N31" s="73"/>
      <c r="O31" s="73"/>
      <c r="P31" s="73"/>
      <c r="Q31" s="73"/>
      <c r="R31" s="73"/>
      <c r="S31" s="73"/>
    </row>
    <row r="32" spans="1:19" x14ac:dyDescent="0.25">
      <c r="A32" s="73"/>
      <c r="B32" s="85"/>
      <c r="C32" s="85"/>
      <c r="D32" s="85"/>
      <c r="E32" s="85"/>
      <c r="F32" s="85"/>
      <c r="G32" s="85"/>
      <c r="H32" s="85"/>
      <c r="I32" s="85"/>
      <c r="J32" s="73"/>
      <c r="K32" s="73"/>
      <c r="L32" s="73"/>
      <c r="M32" s="73"/>
      <c r="N32" s="73"/>
      <c r="O32" s="73"/>
      <c r="P32" s="73"/>
      <c r="Q32" s="73"/>
      <c r="R32" s="73"/>
      <c r="S32" s="73"/>
    </row>
    <row r="33" spans="1:29" s="7" customFormat="1" x14ac:dyDescent="0.25">
      <c r="A33" s="85" t="s">
        <v>121</v>
      </c>
      <c r="B33" s="85"/>
      <c r="C33" s="85"/>
      <c r="D33" s="85"/>
      <c r="E33" s="85"/>
      <c r="F33" s="85"/>
      <c r="G33" s="85"/>
      <c r="H33" s="85"/>
      <c r="I33" s="85"/>
      <c r="J33" s="85"/>
      <c r="K33" s="73"/>
      <c r="L33" s="73"/>
      <c r="M33" s="73"/>
      <c r="N33" s="73"/>
      <c r="O33" s="73"/>
      <c r="P33" s="73"/>
      <c r="Q33" s="73"/>
      <c r="R33" s="73"/>
      <c r="S33" s="73"/>
      <c r="T33" s="8"/>
      <c r="U33" s="7"/>
      <c r="V33" s="7"/>
      <c r="W33" s="7"/>
      <c r="X33" s="7"/>
      <c r="Y33" s="7"/>
      <c r="Z33" s="7"/>
      <c r="AA33" s="7"/>
      <c r="AB33" s="8"/>
      <c r="AC33" s="8"/>
    </row>
    <row r="34" spans="1:29" x14ac:dyDescent="0.25">
      <c r="A34" s="73"/>
      <c r="B34" s="86" t="s">
        <v>122</v>
      </c>
      <c r="C34" s="86" t="s">
        <v>123</v>
      </c>
      <c r="D34" s="86" t="s">
        <v>124</v>
      </c>
      <c r="E34" s="87" t="s">
        <v>125</v>
      </c>
      <c r="F34" s="88" t="s">
        <v>126</v>
      </c>
      <c r="G34" s="89"/>
      <c r="H34" s="90"/>
      <c r="I34" s="89"/>
      <c r="J34" s="27" t="s">
        <v>127</v>
      </c>
      <c r="K34" s="28"/>
      <c r="L34" s="29"/>
      <c r="M34" s="73"/>
      <c r="N34" s="73"/>
      <c r="O34" s="73"/>
      <c r="P34" s="73"/>
      <c r="Q34" s="73"/>
      <c r="R34" s="73"/>
      <c r="S34" s="73"/>
      <c r="AB34" s="7"/>
      <c r="AC34" s="7"/>
    </row>
    <row r="35" ht="12.75" customHeight="1" spans="1:19" x14ac:dyDescent="0.25">
      <c r="A35" s="73"/>
      <c r="B35" s="91"/>
      <c r="C35" s="92"/>
      <c r="D35" s="93"/>
      <c r="E35" s="93"/>
      <c r="F35" s="94"/>
      <c r="G35" s="95"/>
      <c r="H35" s="96"/>
      <c r="I35" s="95"/>
      <c r="J35" s="97"/>
      <c r="K35" s="98"/>
      <c r="L35" s="99"/>
      <c r="M35" s="73"/>
      <c r="N35" s="73"/>
      <c r="O35" s="73"/>
      <c r="P35" s="73"/>
      <c r="Q35" s="73"/>
      <c r="R35" s="73"/>
      <c r="S35" s="73"/>
    </row>
    <row r="36" ht="12.75" customHeight="1" spans="1:19" x14ac:dyDescent="0.25">
      <c r="A36" s="73"/>
      <c r="B36" s="100"/>
      <c r="C36" s="101"/>
      <c r="D36" s="100"/>
      <c r="E36" s="100"/>
      <c r="F36" s="94"/>
      <c r="G36" s="95"/>
      <c r="H36" s="96"/>
      <c r="I36" s="95"/>
      <c r="J36" s="97"/>
      <c r="K36" s="98"/>
      <c r="L36" s="99"/>
      <c r="M36" s="73"/>
      <c r="N36" s="73"/>
      <c r="O36" s="73"/>
      <c r="P36" s="73"/>
      <c r="Q36" s="73"/>
      <c r="R36" s="73"/>
      <c r="S36" s="73"/>
    </row>
    <row r="37" ht="15" customHeight="1" spans="1:19" x14ac:dyDescent="0.25">
      <c r="A37" s="73"/>
      <c r="B37" s="100"/>
      <c r="C37" s="101"/>
      <c r="D37" s="100"/>
      <c r="E37" s="100"/>
      <c r="F37" s="94"/>
      <c r="G37" s="95"/>
      <c r="H37" s="96"/>
      <c r="I37" s="95"/>
      <c r="J37" s="97"/>
      <c r="K37" s="98"/>
      <c r="L37" s="99"/>
      <c r="M37" s="73"/>
      <c r="N37" s="73"/>
      <c r="O37" s="73"/>
      <c r="P37" s="73"/>
      <c r="Q37" s="73"/>
      <c r="R37" s="73"/>
      <c r="S37" s="73"/>
    </row>
    <row r="38" spans="1:19" x14ac:dyDescent="0.25">
      <c r="A38" s="85" t="s">
        <v>120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73"/>
      <c r="N38" s="73"/>
      <c r="O38" s="73"/>
      <c r="P38" s="73"/>
      <c r="Q38" s="73"/>
      <c r="R38" s="73"/>
      <c r="S38" s="73"/>
    </row>
    <row r="39" spans="1:19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73"/>
      <c r="N39" s="73"/>
      <c r="O39" s="73"/>
      <c r="P39" s="73"/>
      <c r="Q39" s="73"/>
      <c r="R39" s="73"/>
      <c r="S39" s="73"/>
    </row>
    <row r="40" spans="1:19" x14ac:dyDescent="0.25">
      <c r="A40" s="85" t="s">
        <v>128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73"/>
      <c r="N40" s="73"/>
      <c r="O40" s="73"/>
      <c r="P40" s="85"/>
      <c r="Q40" s="85"/>
      <c r="R40" s="73"/>
      <c r="S40" s="73"/>
    </row>
    <row r="41" spans="1:19" x14ac:dyDescent="0.25">
      <c r="A41" s="73"/>
      <c r="B41" s="86" t="s">
        <v>122</v>
      </c>
      <c r="C41" s="86" t="s">
        <v>123</v>
      </c>
      <c r="D41" s="102" t="s">
        <v>129</v>
      </c>
      <c r="E41" s="103"/>
      <c r="F41" s="88" t="s">
        <v>126</v>
      </c>
      <c r="G41" s="89"/>
      <c r="H41" s="90"/>
      <c r="I41" s="89"/>
      <c r="J41" s="27" t="s">
        <v>127</v>
      </c>
      <c r="K41" s="28"/>
      <c r="L41" s="29"/>
      <c r="M41" s="73"/>
      <c r="N41" s="73"/>
      <c r="O41" s="73"/>
      <c r="P41" s="73"/>
      <c r="Q41" s="73"/>
      <c r="R41" s="73"/>
      <c r="S41" s="73"/>
    </row>
    <row r="42" ht="15" customHeight="1" spans="1:19" x14ac:dyDescent="0.25">
      <c r="A42" s="73"/>
      <c r="B42" s="91"/>
      <c r="C42" s="92"/>
      <c r="D42" s="94"/>
      <c r="E42" s="96"/>
      <c r="F42" s="94"/>
      <c r="G42" s="95"/>
      <c r="H42" s="96"/>
      <c r="I42" s="95"/>
      <c r="J42" s="97"/>
      <c r="K42" s="98"/>
      <c r="L42" s="99"/>
      <c r="M42" s="73"/>
      <c r="N42" s="73"/>
      <c r="O42" s="73"/>
      <c r="P42" s="73"/>
      <c r="Q42" s="73"/>
      <c r="R42" s="73"/>
      <c r="S42" s="73"/>
    </row>
    <row r="43" ht="15" customHeight="1" spans="1:19" x14ac:dyDescent="0.25">
      <c r="A43" s="73"/>
      <c r="B43" s="101"/>
      <c r="C43" s="101"/>
      <c r="D43" s="94"/>
      <c r="E43" s="96"/>
      <c r="F43" s="94"/>
      <c r="G43" s="95"/>
      <c r="H43" s="96"/>
      <c r="I43" s="95"/>
      <c r="J43" s="97"/>
      <c r="K43" s="98"/>
      <c r="L43" s="99"/>
      <c r="M43" s="73"/>
      <c r="N43" s="73"/>
      <c r="O43" s="73"/>
      <c r="P43" s="73"/>
      <c r="Q43" s="73"/>
      <c r="R43" s="73"/>
      <c r="S43" s="73"/>
    </row>
    <row r="44" ht="15" customHeight="1" spans="1:19" x14ac:dyDescent="0.25">
      <c r="A44" s="73"/>
      <c r="B44" s="101"/>
      <c r="C44" s="101"/>
      <c r="D44" s="94"/>
      <c r="E44" s="96"/>
      <c r="F44" s="94"/>
      <c r="G44" s="95"/>
      <c r="H44" s="96"/>
      <c r="I44" s="95"/>
      <c r="J44" s="97"/>
      <c r="K44" s="98"/>
      <c r="L44" s="99"/>
      <c r="M44" s="73"/>
      <c r="N44" s="73"/>
      <c r="O44" s="73"/>
      <c r="P44" s="73"/>
      <c r="Q44" s="73"/>
      <c r="R44" s="73"/>
      <c r="S44" s="73"/>
    </row>
    <row r="45" ht="15" customHeight="1" spans="1:19" x14ac:dyDescent="0.25">
      <c r="A45" s="73"/>
      <c r="B45" s="101"/>
      <c r="C45" s="101"/>
      <c r="D45" s="94"/>
      <c r="E45" s="96"/>
      <c r="F45" s="94"/>
      <c r="G45" s="95"/>
      <c r="H45" s="96"/>
      <c r="I45" s="95"/>
      <c r="J45" s="97"/>
      <c r="K45" s="98"/>
      <c r="L45" s="99"/>
      <c r="M45" s="73"/>
      <c r="N45" s="73"/>
      <c r="O45" s="73"/>
      <c r="P45" s="73"/>
      <c r="Q45" s="73"/>
      <c r="R45" s="73"/>
      <c r="S45" s="73"/>
    </row>
    <row r="46" ht="15" customHeight="1" spans="1:19" x14ac:dyDescent="0.25">
      <c r="A46" s="73"/>
      <c r="B46" s="101"/>
      <c r="C46" s="101"/>
      <c r="D46" s="94"/>
      <c r="E46" s="96"/>
      <c r="F46" s="94"/>
      <c r="G46" s="95"/>
      <c r="H46" s="96"/>
      <c r="I46" s="95"/>
      <c r="J46" s="97"/>
      <c r="K46" s="98"/>
      <c r="L46" s="99"/>
      <c r="M46" s="73"/>
      <c r="N46" s="73"/>
      <c r="O46" s="73"/>
      <c r="P46" s="73"/>
      <c r="Q46" s="73"/>
      <c r="R46" s="73"/>
      <c r="S46" s="73"/>
    </row>
    <row r="47" spans="1:21" x14ac:dyDescent="0.25">
      <c r="A47" s="78" t="s">
        <v>130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 spans="1:19" x14ac:dyDescent="0.25">
      <c r="A48" s="85"/>
      <c r="B48" s="85"/>
      <c r="C48" s="85"/>
      <c r="D48" s="85"/>
      <c r="E48" s="85"/>
      <c r="F48" s="85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</row>
    <row r="49" spans="1:19" x14ac:dyDescent="0.25">
      <c r="A49" s="85" t="s">
        <v>131</v>
      </c>
      <c r="B49" s="85"/>
      <c r="C49" s="85"/>
      <c r="D49" s="85"/>
      <c r="E49" s="85"/>
      <c r="F49" s="85"/>
      <c r="G49" s="8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</row>
    <row r="50" spans="1:21" x14ac:dyDescent="0.25">
      <c r="A50" s="78" t="s">
        <v>132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19" x14ac:dyDescent="0.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73"/>
      <c r="N51" s="73"/>
      <c r="O51" s="73"/>
      <c r="P51" s="73"/>
      <c r="Q51" s="73"/>
      <c r="R51" s="73"/>
      <c r="S51" s="73"/>
    </row>
    <row r="52" spans="1:21" x14ac:dyDescent="0.25">
      <c r="A52" s="104" t="s">
        <v>133</v>
      </c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ht="12.75" customHeight="1" spans="1:19" x14ac:dyDescent="0.25">
      <c r="A53" s="105" t="s">
        <v>132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P53" s="73"/>
      <c r="Q53" s="73"/>
      <c r="R53" s="73"/>
      <c r="S53" s="73"/>
    </row>
    <row r="54" spans="2:12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2:17" x14ac:dyDescent="0.25">
      <c r="B55" s="76"/>
      <c r="C55" s="76" t="s">
        <v>134</v>
      </c>
      <c r="D55" s="76"/>
      <c r="E55" s="76"/>
      <c r="F55" s="76"/>
      <c r="G55" s="76"/>
      <c r="H55" s="76"/>
      <c r="I55" s="76"/>
      <c r="J55" s="76"/>
      <c r="K55" s="76"/>
      <c r="L55" s="76"/>
      <c r="P55" s="76"/>
      <c r="Q55" s="76"/>
    </row>
    <row r="56" spans="2:1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P56" s="76"/>
      <c r="Q56" s="76"/>
    </row>
    <row r="57" spans="2:1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P57" s="76"/>
      <c r="Q57" s="76"/>
    </row>
    <row r="58" spans="2:1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P58" s="76"/>
      <c r="Q58" s="76"/>
    </row>
    <row r="59" spans="2:1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P59" s="76"/>
      <c r="Q59" s="76"/>
    </row>
    <row r="60" spans="2:1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P60" s="76"/>
      <c r="Q60" s="76"/>
    </row>
    <row r="61" spans="2:1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P61" s="76"/>
      <c r="Q61" s="76"/>
    </row>
    <row r="62" spans="2:1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P62" s="76"/>
      <c r="Q62" s="76"/>
    </row>
    <row r="63" spans="2:1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P63" s="76"/>
      <c r="Q63" s="76"/>
    </row>
    <row r="64" spans="16:17" x14ac:dyDescent="0.25">
      <c r="P64" s="76"/>
      <c r="Q64" s="76"/>
    </row>
  </sheetData>
  <sheetProtection sheet="1" selectLockedCells="1"/>
  <mergeCells count="45">
    <mergeCell ref="O2:T2"/>
    <mergeCell ref="F3:I3"/>
    <mergeCell ref="K3:N3"/>
    <mergeCell ref="AC2:AC3"/>
    <mergeCell ref="A3:A4"/>
    <mergeCell ref="B3:B4"/>
    <mergeCell ref="A12:M12"/>
    <mergeCell ref="A19:M19"/>
    <mergeCell ref="A27:M27"/>
    <mergeCell ref="A30:H30"/>
    <mergeCell ref="A31:F31"/>
    <mergeCell ref="A33:J33"/>
    <mergeCell ref="F34:H34"/>
    <mergeCell ref="J34:L34"/>
    <mergeCell ref="F35:H35"/>
    <mergeCell ref="J35:L35"/>
    <mergeCell ref="F36:H36"/>
    <mergeCell ref="J36:L36"/>
    <mergeCell ref="F37:H37"/>
    <mergeCell ref="J37:L37"/>
    <mergeCell ref="A38:L38"/>
    <mergeCell ref="A40:L40"/>
    <mergeCell ref="D41:E41"/>
    <mergeCell ref="F41:H41"/>
    <mergeCell ref="J41:L41"/>
    <mergeCell ref="D42:E42"/>
    <mergeCell ref="F42:H42"/>
    <mergeCell ref="J42:L42"/>
    <mergeCell ref="D43:E43"/>
    <mergeCell ref="F43:H43"/>
    <mergeCell ref="J43:L43"/>
    <mergeCell ref="D44:E44"/>
    <mergeCell ref="F44:H44"/>
    <mergeCell ref="J44:L44"/>
    <mergeCell ref="D45:E45"/>
    <mergeCell ref="F45:H45"/>
    <mergeCell ref="J45:L45"/>
    <mergeCell ref="D46:E46"/>
    <mergeCell ref="F46:H46"/>
    <mergeCell ref="J46:L46"/>
    <mergeCell ref="A47:U47"/>
    <mergeCell ref="A49:G49"/>
    <mergeCell ref="A50:U50"/>
    <mergeCell ref="A52:U52"/>
    <mergeCell ref="A53:L53"/>
  </mergeCells>
  <pageMargins left="0.75" right="0.75" top="1" bottom="1" header="0.5" footer="0.5"/>
  <pageSetup orientation="landscape" horizontalDpi="4294967293" verticalDpi="4294967295" scale="65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0"/>
  <sheetViews>
    <sheetView workbookViewId="0" zoomScale="100" zoomScaleNormal="100">
      <selection activeCell="A23" sqref="A23"/>
    </sheetView>
  </sheetViews>
  <sheetFormatPr defaultRowHeight="12.75" outlineLevelRow="0" outlineLevelCol="0" x14ac:dyDescent="0" customHeight="1"/>
  <cols>
    <col min="1" max="1" width="35.5703125" customWidth="1"/>
  </cols>
  <sheetData>
    <row r="1" ht="15.75" customHeight="1" spans="1:1" s="1" customFormat="1" x14ac:dyDescent="0.25">
      <c r="A1" s="1" t="s">
        <v>0</v>
      </c>
    </row>
    <row r="2" ht="15.75" customHeight="1" spans="1:12" s="1" customFormat="1" x14ac:dyDescent="0.25">
      <c r="A2" s="2" t="s">
        <v>1</v>
      </c>
      <c r="B2" s="3" t="s">
        <v>2</v>
      </c>
      <c r="L2" s="3" t="s">
        <v>3</v>
      </c>
    </row>
    <row r="3" ht="15.75" customHeight="1" spans="1:12" s="1" customFormat="1" x14ac:dyDescent="0.25">
      <c r="A3" s="4" t="s">
        <v>4</v>
      </c>
      <c r="B3" s="3" t="s">
        <v>5</v>
      </c>
      <c r="L3" s="3" t="s">
        <v>6</v>
      </c>
    </row>
    <row r="4" ht="15.75" customHeight="1" spans="2:12" s="1" customFormat="1" x14ac:dyDescent="0.25">
      <c r="B4" s="3" t="s">
        <v>7</v>
      </c>
      <c r="I4" s="3"/>
      <c r="L4" s="3" t="s">
        <v>8</v>
      </c>
    </row>
    <row r="5" ht="15.75" customHeight="1" spans="2:12" s="1" customFormat="1" x14ac:dyDescent="0.25">
      <c r="B5" s="3" t="s">
        <v>9</v>
      </c>
      <c r="I5" s="3"/>
      <c r="L5" s="3"/>
    </row>
    <row r="7" spans="1:7" x14ac:dyDescent="0.25">
      <c r="A7" s="5" t="s">
        <v>10</v>
      </c>
      <c r="B7" s="2" t="s">
        <v>11</v>
      </c>
      <c r="G7" t="s">
        <v>12</v>
      </c>
    </row>
    <row r="8" spans="1:10" x14ac:dyDescent="0.25">
      <c r="A8" s="2"/>
      <c r="B8" s="3" t="s">
        <v>13</v>
      </c>
      <c r="C8" s="3" t="s">
        <v>14</v>
      </c>
      <c r="G8" t="s">
        <v>15</v>
      </c>
      <c r="J8" s="3"/>
    </row>
    <row r="9" spans="1:3" x14ac:dyDescent="0.25">
      <c r="A9" s="2"/>
      <c r="B9" s="3" t="s">
        <v>13</v>
      </c>
      <c r="C9" s="3" t="s">
        <v>16</v>
      </c>
    </row>
    <row r="10" spans="1:3" x14ac:dyDescent="0.25">
      <c r="A10" s="2"/>
      <c r="B10" s="3" t="s">
        <v>17</v>
      </c>
      <c r="C10" s="3" t="s">
        <v>18</v>
      </c>
    </row>
    <row r="11" spans="1:3" x14ac:dyDescent="0.25">
      <c r="A11" s="2"/>
      <c r="B11" s="3"/>
      <c r="C11" s="3"/>
    </row>
    <row r="12" spans="1:3" x14ac:dyDescent="0.25">
      <c r="A12" s="2" t="s">
        <v>19</v>
      </c>
      <c r="B12" s="3" t="s">
        <v>20</v>
      </c>
      <c r="C12" s="3"/>
    </row>
    <row r="13" spans="1:3" x14ac:dyDescent="0.25">
      <c r="A13" s="2"/>
      <c r="B13" s="3"/>
      <c r="C13" s="3"/>
    </row>
    <row r="14" spans="1:3" x14ac:dyDescent="0.25">
      <c r="A14" s="2"/>
      <c r="B14" s="3" t="s">
        <v>21</v>
      </c>
      <c r="C14" s="3"/>
    </row>
    <row r="15" spans="1:3" x14ac:dyDescent="0.25">
      <c r="A15" s="2"/>
      <c r="B15" s="3"/>
      <c r="C15" s="3"/>
    </row>
    <row r="16" spans="1:3" x14ac:dyDescent="0.25">
      <c r="A16" s="2" t="s">
        <v>22</v>
      </c>
      <c r="B16" s="3" t="s">
        <v>23</v>
      </c>
      <c r="C16" s="3"/>
    </row>
    <row r="17" spans="1:2" x14ac:dyDescent="0.25">
      <c r="A17" s="2"/>
      <c r="B17" s="3" t="s">
        <v>24</v>
      </c>
    </row>
    <row r="19" spans="1:2" x14ac:dyDescent="0.25">
      <c r="A19" s="2" t="s">
        <v>25</v>
      </c>
      <c r="B19" s="3" t="s">
        <v>26</v>
      </c>
    </row>
    <row r="20" spans="1:2" x14ac:dyDescent="0.25">
      <c r="A20" s="3"/>
      <c r="B20" s="3" t="s">
        <v>27</v>
      </c>
    </row>
    <row r="21" spans="1:2" x14ac:dyDescent="0.25">
      <c r="A21" s="3"/>
      <c r="B21" s="3"/>
    </row>
    <row r="22" spans="1:5" x14ac:dyDescent="0.25">
      <c r="A22" s="2" t="s">
        <v>28</v>
      </c>
      <c r="B22" s="3" t="s">
        <v>29</v>
      </c>
      <c r="C22" s="3" t="s">
        <v>30</v>
      </c>
      <c r="D22" s="3" t="s">
        <v>31</v>
      </c>
      <c r="E22" s="3" t="s">
        <v>32</v>
      </c>
    </row>
    <row r="23" spans="1:2" x14ac:dyDescent="0.25">
      <c r="A23" s="2"/>
      <c r="B23" s="2" t="s">
        <v>33</v>
      </c>
    </row>
    <row r="24" spans="1:2" x14ac:dyDescent="0.25">
      <c r="A24" s="2"/>
      <c r="B24" s="3" t="s">
        <v>34</v>
      </c>
    </row>
    <row r="25" spans="1:4" x14ac:dyDescent="0.25">
      <c r="A25" s="3"/>
      <c r="B25" s="3" t="s">
        <v>35</v>
      </c>
      <c r="C25" s="3"/>
      <c r="D25" s="3"/>
    </row>
    <row r="26" spans="1:4" x14ac:dyDescent="0.25">
      <c r="A26" s="3"/>
      <c r="B26" s="3" t="s">
        <v>36</v>
      </c>
      <c r="C26" s="3"/>
      <c r="D26" s="3"/>
    </row>
    <row r="27" spans="1:4" x14ac:dyDescent="0.25">
      <c r="A27" s="3"/>
      <c r="B27" s="3" t="s">
        <v>37</v>
      </c>
      <c r="C27" s="3"/>
      <c r="D27" s="3"/>
    </row>
    <row r="28" spans="1:4" x14ac:dyDescent="0.25">
      <c r="A28" s="3"/>
      <c r="B28" s="3" t="s">
        <v>38</v>
      </c>
      <c r="C28" s="3"/>
      <c r="D28" s="3"/>
    </row>
    <row r="29" spans="1:4" x14ac:dyDescent="0.25">
      <c r="A29" s="3"/>
      <c r="B29" s="3"/>
      <c r="C29" s="3"/>
      <c r="D29" s="3"/>
    </row>
    <row r="30" spans="1:2" x14ac:dyDescent="0.25">
      <c r="A30" s="2" t="s">
        <v>39</v>
      </c>
      <c r="B30" s="3" t="s">
        <v>40</v>
      </c>
    </row>
    <row r="31" spans="2:2" x14ac:dyDescent="0.25">
      <c r="B31" s="3" t="s">
        <v>41</v>
      </c>
    </row>
    <row r="33" spans="2:4" x14ac:dyDescent="0.25">
      <c r="B33" s="3"/>
      <c r="C33" s="3"/>
      <c r="D33" s="3"/>
    </row>
    <row r="34" spans="1:6" x14ac:dyDescent="0.25">
      <c r="A34" s="2" t="s">
        <v>42</v>
      </c>
      <c r="B34" s="3" t="s">
        <v>29</v>
      </c>
      <c r="C34" s="3" t="s">
        <v>30</v>
      </c>
      <c r="D34" s="3" t="s">
        <v>31</v>
      </c>
      <c r="E34" s="3" t="s">
        <v>32</v>
      </c>
      <c r="F34" s="3" t="s">
        <v>43</v>
      </c>
    </row>
    <row r="36" spans="1:2" x14ac:dyDescent="0.25">
      <c r="A36" s="2" t="s">
        <v>44</v>
      </c>
      <c r="B36" s="3" t="s">
        <v>45</v>
      </c>
    </row>
    <row r="37" spans="1:1" x14ac:dyDescent="0.25">
      <c r="A37" s="2"/>
    </row>
    <row r="38" spans="1:2" x14ac:dyDescent="0.25">
      <c r="A38" s="2" t="s">
        <v>46</v>
      </c>
      <c r="B38" s="3" t="s">
        <v>47</v>
      </c>
    </row>
    <row r="39" spans="1:2" x14ac:dyDescent="0.25">
      <c r="A39" s="2" t="s">
        <v>48</v>
      </c>
      <c r="B39" s="3" t="s">
        <v>47</v>
      </c>
    </row>
    <row r="40" spans="1:2" x14ac:dyDescent="0.25">
      <c r="A40" s="2" t="s">
        <v>49</v>
      </c>
      <c r="B40" s="3" t="s">
        <v>50</v>
      </c>
    </row>
    <row r="41" spans="1:2" x14ac:dyDescent="0.25">
      <c r="A41" s="2" t="s">
        <v>51</v>
      </c>
      <c r="B41" s="3" t="s">
        <v>50</v>
      </c>
    </row>
    <row r="42" spans="1:2" x14ac:dyDescent="0.25">
      <c r="A42" s="2" t="s">
        <v>52</v>
      </c>
      <c r="B42" s="3" t="s">
        <v>53</v>
      </c>
    </row>
    <row r="43" spans="1:2" x14ac:dyDescent="0.25">
      <c r="A43" s="2"/>
      <c r="B43" s="3" t="s">
        <v>54</v>
      </c>
    </row>
    <row r="44" spans="1:2" x14ac:dyDescent="0.25">
      <c r="A44" s="2" t="s">
        <v>55</v>
      </c>
      <c r="B44" s="3" t="s">
        <v>56</v>
      </c>
    </row>
    <row r="45" spans="1:2" x14ac:dyDescent="0.25">
      <c r="A45" s="2" t="s">
        <v>57</v>
      </c>
      <c r="B45" s="3" t="s">
        <v>58</v>
      </c>
    </row>
    <row r="46" spans="1:2" x14ac:dyDescent="0.25">
      <c r="A46" s="2" t="s">
        <v>59</v>
      </c>
      <c r="B46" s="3" t="s">
        <v>60</v>
      </c>
    </row>
    <row r="47" spans="1:1" x14ac:dyDescent="0.25">
      <c r="A47" s="2"/>
    </row>
    <row r="48" spans="1:2" x14ac:dyDescent="0.25">
      <c r="A48" s="2" t="s">
        <v>61</v>
      </c>
      <c r="B48" s="3" t="s">
        <v>62</v>
      </c>
    </row>
    <row r="49" spans="2:2" x14ac:dyDescent="0.25">
      <c r="B49" s="3"/>
    </row>
    <row r="50" spans="2:2" x14ac:dyDescent="0.25">
      <c r="B50" s="3"/>
    </row>
    <row r="51" spans="1:14" x14ac:dyDescent="0.25">
      <c r="A51" s="2" t="s">
        <v>63</v>
      </c>
      <c r="B51" s="6" t="s">
        <v>64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4" spans="1:1" x14ac:dyDescent="0.25">
      <c r="A54" s="2" t="s">
        <v>65</v>
      </c>
    </row>
    <row r="57" spans="1:1" x14ac:dyDescent="0.25">
      <c r="A57" s="2" t="s">
        <v>66</v>
      </c>
    </row>
    <row r="60" spans="1:1" x14ac:dyDescent="0.25">
      <c r="A60" s="2" t="s">
        <v>67</v>
      </c>
    </row>
  </sheetData>
  <mergeCells count="1">
    <mergeCell ref="B51:N51"/>
  </mergeCells>
  <printOptions horizontalCentered="1" verticalCentered="1"/>
  <pageMargins left="0" right="0" top="0" bottom="0" header="0.3" footer="0.3"/>
  <pageSetup orientation="landscape" horizontalDpi="4294967295" verticalDpi="4294967295" scale="8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Swissport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Hallmark Aviation Services</dc:creator>
  <dc:title/>
  <dc:subject/>
  <dc:description/>
  <cp:keywords/>
  <cp:category/>
  <cp:lastModifiedBy>Hallmark Aviation Services</cp:lastModifiedBy>
  <cp:contentStatus/>
  <dcterms:created xsi:type="dcterms:W3CDTF">2007-01-03T23:21:26Z</dcterms:created>
  <dcterms:modified xsi:type="dcterms:W3CDTF">2026-10-25T01:10:39Z</dcterms:modified>
</cp:coreProperties>
</file>